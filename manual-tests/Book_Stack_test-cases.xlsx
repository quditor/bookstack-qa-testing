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SQA_PROJECTS\BookStack Demo - SQA Assignment Execution\"/>
    </mc:Choice>
  </mc:AlternateContent>
  <xr:revisionPtr revIDLastSave="0" documentId="8_{5BDB4E45-3F26-4FEC-9C79-29A18C9FABE4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Functional Test Cases" sheetId="1" r:id="rId1"/>
    <sheet name="Execution Summary" sheetId="2" r:id="rId2"/>
    <sheet name="Bug Report" sheetId="3" r:id="rId3"/>
  </sheets>
  <definedNames>
    <definedName name="_xlnm._FilterDatabase" localSheetId="0" hidden="1">'Functional Test Cases'!$A$1:$N$24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2" l="1"/>
  <c r="B24" i="2"/>
  <c r="B23" i="2"/>
  <c r="B20" i="2"/>
  <c r="B19" i="2"/>
  <c r="B18" i="2"/>
  <c r="B17" i="2"/>
  <c r="B14" i="2"/>
  <c r="B13" i="2"/>
  <c r="B12" i="2"/>
  <c r="B11" i="2"/>
  <c r="B10" i="2"/>
</calcChain>
</file>

<file path=xl/sharedStrings.xml><?xml version="1.0" encoding="utf-8"?>
<sst xmlns="http://schemas.openxmlformats.org/spreadsheetml/2006/main" count="455" uniqueCount="299">
  <si>
    <t>Test Case ID</t>
  </si>
  <si>
    <t>Module</t>
  </si>
  <si>
    <t>Test Type</t>
  </si>
  <si>
    <t>Preconditions</t>
  </si>
  <si>
    <t>Test Data</t>
  </si>
  <si>
    <t>Steps to Execute</t>
  </si>
  <si>
    <t>Expected Result</t>
  </si>
  <si>
    <t>Actual Result</t>
  </si>
  <si>
    <t>Status</t>
  </si>
  <si>
    <t>Severity</t>
  </si>
  <si>
    <t>Priority</t>
  </si>
  <si>
    <t>Evidence Reference</t>
  </si>
  <si>
    <t>Remarks</t>
  </si>
  <si>
    <t>TC-001</t>
  </si>
  <si>
    <t>Book Management</t>
  </si>
  <si>
    <t>Positive</t>
  </si>
  <si>
    <t>User is logged in as Admin</t>
  </si>
  <si>
    <t>Book Name: SQA Test Book Alpha</t>
  </si>
  <si>
    <t>1. Navigate to /create-book
2. Enter SQA Test Book Alpha in Name
3. Click Save Book</t>
  </si>
  <si>
    <t>Book is created successfully and user is redirected to the new book page</t>
  </si>
  <si>
    <t>Book created successfully. Redirected to /books/sqa-test-book-alpha. Title displayed correctly.</t>
  </si>
  <si>
    <t>PASS</t>
  </si>
  <si>
    <t>Medium</t>
  </si>
  <si>
    <t>filled_form_alpha.png
book_success_alpha.png</t>
  </si>
  <si>
    <t>URL slug auto-generated from book name</t>
  </si>
  <si>
    <t>TC-002</t>
  </si>
  <si>
    <t>Name: SQA Description Test
Description: Formatted content</t>
  </si>
  <si>
    <t>1. Navigate to /create-book
2. Enter name and description
3. Click Save Book</t>
  </si>
  <si>
    <t>Book is created with both name and description displayed on the book page</t>
  </si>
  <si>
    <t>Book created successfully. Description rendered with formatted HTML content.</t>
  </si>
  <si>
    <t>Low</t>
  </si>
  <si>
    <t>description_html_test.png</t>
  </si>
  <si>
    <t>Description uses WYSIWYG rich text editor</t>
  </si>
  <si>
    <t>TC-003</t>
  </si>
  <si>
    <t>User is logged in as Admin.
Book exists.</t>
  </si>
  <si>
    <t>New Name: SQA Test Book Alpha - Edited</t>
  </si>
  <si>
    <t>1. Navigate to the book
2. Click Edit
3. Change name
4. Click Save Book</t>
  </si>
  <si>
    <t>Book name is updated. User redirected to book page with new name.</t>
  </si>
  <si>
    <t>Book name updated successfully. URL slug changed. Redirected to updated book page.</t>
  </si>
  <si>
    <t>URL slug updates when name changes</t>
  </si>
  <si>
    <t>TC-004</t>
  </si>
  <si>
    <t>User is logged in as Admin.
Test books exist.</t>
  </si>
  <si>
    <t>Search query: SQA Test Book</t>
  </si>
  <si>
    <t>1. Click search icon
2. Enter SQA Test Book
3. Press Enter</t>
  </si>
  <si>
    <t>Search results display books matching the query</t>
  </si>
  <si>
    <t>Search results displayed matching books with titles and descriptions.</t>
  </si>
  <si>
    <t>search_results_normal.png</t>
  </si>
  <si>
    <t>Search works across book names and content</t>
  </si>
  <si>
    <t>TC-005</t>
  </si>
  <si>
    <t>Book Name: 12345</t>
  </si>
  <si>
    <t>1. Navigate to /create-book
2. Enter 12345 in Name
3. Click Save Book</t>
  </si>
  <si>
    <t>Book is created successfully with numeric name</t>
  </si>
  <si>
    <t>Book created successfully. URL slug generated as numeric-based slug.</t>
  </si>
  <si>
    <t>test_b_numeric_book.png</t>
  </si>
  <si>
    <t>Handles purely numeric names gracefully</t>
  </si>
  <si>
    <t>TC-006</t>
  </si>
  <si>
    <t>User is logged in as Admin.
A test book exists.</t>
  </si>
  <si>
    <t>Page Name: Test Page Alpha</t>
  </si>
  <si>
    <t>1. Navigate to a test book
2. Click New Page
3. Enter page name
4. Add body content
5. Click Save Page</t>
  </si>
  <si>
    <t>Page is created and visible in the book page list</t>
  </si>
  <si>
    <t>Page created successfully. Visible in the book table of contents.</t>
  </si>
  <si>
    <t>test_c_create_page.png</t>
  </si>
  <si>
    <t>TC-007</t>
  </si>
  <si>
    <t>Negative</t>
  </si>
  <si>
    <t>Book Name: (empty)</t>
  </si>
  <si>
    <t>1. Navigate to /create-book
2. Leave Name field empty
3. Click Save Book</t>
  </si>
  <si>
    <t>Validation error shown. Book is not created.</t>
  </si>
  <si>
    <t>Validation error: The name field is required. Book was not created.</t>
  </si>
  <si>
    <t>High</t>
  </si>
  <si>
    <t>empty_name_validation_error.png</t>
  </si>
  <si>
    <t>Server-side validation prevents empty name</t>
  </si>
  <si>
    <t>TC-008</t>
  </si>
  <si>
    <t>Book Name: (5 spaces)</t>
  </si>
  <si>
    <t>1. Navigate to /create-book
2. Enter only spaces in Name
3. Click Save Book</t>
  </si>
  <si>
    <t>Validation error shown. Whitespace-only name rejected.</t>
  </si>
  <si>
    <t>Validation error: The name field is required. Whitespace trimmed and rejected.</t>
  </si>
  <si>
    <t>whitespace_validation_error.png</t>
  </si>
  <si>
    <t>Server trims whitespace and validates</t>
  </si>
  <si>
    <t>TC-009</t>
  </si>
  <si>
    <t>User is logged in as Admin.
Existing book being edited.</t>
  </si>
  <si>
    <t>Name: (cleared to empty)</t>
  </si>
  <si>
    <t>1. Navigate to existing book
2. Click Edit
3. Clear Name field
4. Click Save Book</t>
  </si>
  <si>
    <t>Validation error shown. Name cannot be empty.</t>
  </si>
  <si>
    <t>Validation error: The name field is required. Edit rejected; book retained previous name.</t>
  </si>
  <si>
    <t>edit_name_validation_error.png</t>
  </si>
  <si>
    <t>Edit form enforces same validation as create</t>
  </si>
  <si>
    <t>TC-010</t>
  </si>
  <si>
    <t>Book Name: &lt;script&gt;alert(XSS)&lt;/script&gt;</t>
  </si>
  <si>
    <t>1. Navigate to /create-book
2. Enter XSS payload in Name
3. Click Save Book</t>
  </si>
  <si>
    <t>XSS payload sanitized/escaped. No script execution.</t>
  </si>
  <si>
    <t>Book created. Script tags rendered as plain text. No JS alert executed.</t>
  </si>
  <si>
    <t>xss_test_result.png</t>
  </si>
  <si>
    <t>XSS properly handled - tags escaped</t>
  </si>
  <si>
    <t>TC-011</t>
  </si>
  <si>
    <t>Search query: &lt;script&gt;</t>
  </si>
  <si>
    <t>1. Click search icon
2. Enter &lt;script&gt; in search bar
3. Press Enter</t>
  </si>
  <si>
    <t>Search handles special characters safely. No script execution.</t>
  </si>
  <si>
    <t>Search executed safely. XSS book appeared in results. No script execution.</t>
  </si>
  <si>
    <t>search_results_special.png</t>
  </si>
  <si>
    <t>Search output escapes HTML entities</t>
  </si>
  <si>
    <t>TC-012</t>
  </si>
  <si>
    <t>Boundary Value</t>
  </si>
  <si>
    <t>Book Name: A (single character)</t>
  </si>
  <si>
    <t>1. Navigate to /create-book
2. Enter A in Name
3. Click Save Book</t>
  </si>
  <si>
    <t>Book created successfully with single-character name</t>
  </si>
  <si>
    <t>Book created with single character A. URL slug generated appropriately.</t>
  </si>
  <si>
    <t>Minimum boundary - single char accepted</t>
  </si>
  <si>
    <t>TC-013</t>
  </si>
  <si>
    <t>Book Name: A repeated 250 times</t>
  </si>
  <si>
    <t>1. Navigate to /create-book
2. Enter 250 A characters in Name
3. Click Save Book</t>
  </si>
  <si>
    <t>Book created (if no max limit) or validation message shown</t>
  </si>
  <si>
    <t>Book created with 250-char name. No max length validation error displayed.</t>
  </si>
  <si>
    <t>long_string_result.png</t>
  </si>
  <si>
    <t>No visible max length limit on book name</t>
  </si>
  <si>
    <t>TC-014</t>
  </si>
  <si>
    <t>User is logged in as Admin.
Test book exists.</t>
  </si>
  <si>
    <t>Page Name: B repeated 200 times</t>
  </si>
  <si>
    <t>1. Navigate to test book
2. Click New Page
3. Enter 200 B chars as page name
4. Click Save Page</t>
  </si>
  <si>
    <t>Page created (if no limit) or validation message shown</t>
  </si>
  <si>
    <t>Page created with very long name. Full name displayed.</t>
  </si>
  <si>
    <t>test_c_long_name_saved.png</t>
  </si>
  <si>
    <t>No max length enforcement on page name</t>
  </si>
  <si>
    <t>TC-015</t>
  </si>
  <si>
    <t>Page Name: Test Page Alpha
Body: (empty)</t>
  </si>
  <si>
    <t>1. Navigate to test book
2. Click New Page
3. Enter page name
4. Leave body empty
5. Click Save Page</t>
  </si>
  <si>
    <t>Page created with empty body or warning shown</t>
  </si>
  <si>
    <t>Page created with empty body. Draft auto-saved.</t>
  </si>
  <si>
    <t>test_c_empty_page_saved.png</t>
  </si>
  <si>
    <t>Empty body pages allowed - design decision</t>
  </si>
  <si>
    <t>TC-016</t>
  </si>
  <si>
    <t>Edge Case</t>
  </si>
  <si>
    <t>User is logged in as Admin.
Book Duplicate Test Book exists.</t>
  </si>
  <si>
    <t>Book Name: Duplicate Test Book (same as existing)</t>
  </si>
  <si>
    <t>1. Navigate to /create-book
2. Enter same name as existing book
3. Click Save Book
4. Navigate to /books</t>
  </si>
  <si>
    <t>Duplicate rejected with warning, or clear differentiation shown</t>
  </si>
  <si>
    <t>Book created without any warning. Different URL slug generated. Both books show same display name. No warning presented.</t>
  </si>
  <si>
    <t>FAIL</t>
  </si>
  <si>
    <t>test_a_book_1.png
test_a_book_2.png
test_a_books_list.png</t>
  </si>
  <si>
    <t>BUG-001: No duplicate name warning. See Bug Report.</t>
  </si>
  <si>
    <t>TC-017</t>
  </si>
  <si>
    <t>Book Name: !@#$%^&amp;*()</t>
  </si>
  <si>
    <t>1. Navigate to /create-book
2. Enter !@#$%^&amp;*() in Name
3. Click Save Book
4. Observe URL slug</t>
  </si>
  <si>
    <t>Book created. URL slug handles special chars meaningfully.</t>
  </si>
  <si>
    <t>Book created. URL slug was cryptic and non-descriptive (e.g. at-D26).</t>
  </si>
  <si>
    <t>special_chars_book.png</t>
  </si>
  <si>
    <t>BUG-002: Slug not user-friendly. See Bug Report.</t>
  </si>
  <si>
    <t>TC-018</t>
  </si>
  <si>
    <t>Book Name: Test Book with emoji and Japanese/Arabic</t>
  </si>
  <si>
    <t>1. Navigate to /create-book
2. Enter Unicode/emoji name
3. Click Save Book</t>
  </si>
  <si>
    <t>Book created. Unicode preserved in display name.</t>
  </si>
  <si>
    <t>Book created. Unicode and emoji preserved in display name.</t>
  </si>
  <si>
    <t>unicode_book.png</t>
  </si>
  <si>
    <t>Good internationalization support</t>
  </si>
  <si>
    <t>TC-019</t>
  </si>
  <si>
    <t>Book Name: create-book</t>
  </si>
  <si>
    <t>1. Navigate to /create-book
2. Enter create-book as Name
3. Click Save Book
4. Verify routing works</t>
  </si>
  <si>
    <t>Book created without routing conflicts</t>
  </si>
  <si>
    <t>Book created. System handled URL collision correctly. Routing continued to function.</t>
  </si>
  <si>
    <t>Good URL collision prevention</t>
  </si>
  <si>
    <t>TC-020</t>
  </si>
  <si>
    <t>Book Name: Back Button Test</t>
  </si>
  <si>
    <t>1. Navigate to /create-book
2. Enter name
3. Click Save Book
4. Click browser Back button
5. Observe result</t>
  </si>
  <si>
    <t>Form shown again. No duplicate created. Form empty or cache warning.</t>
  </si>
  <si>
    <t>Back button returned to create form. Form appeared empty. No duplicate created.</t>
  </si>
  <si>
    <t>test_d_back_button_result.png</t>
  </si>
  <si>
    <t>PRG pattern prevents double submission</t>
  </si>
  <si>
    <t>TC-021</t>
  </si>
  <si>
    <t>Target: Any test book</t>
  </si>
  <si>
    <t>1. Navigate to test book
2. Click Delete option
3. Observe confirmation dialog
4. Note warning message</t>
  </si>
  <si>
    <t>Confirmation dialog appears. Accidental deletion prevented.</t>
  </si>
  <si>
    <t>Delete confirmation dialog with clear warning and Confirm button. Explicit action required.</t>
  </si>
  <si>
    <t>delete_confirmation_dialog.png</t>
  </si>
  <si>
    <t>Good UX - requires explicit confirmation</t>
  </si>
  <si>
    <t>TC-022</t>
  </si>
  <si>
    <t>Search query: (empty)</t>
  </si>
  <si>
    <t>1. Click search icon/bar
2. Submit empty search
3. Observe result</t>
  </si>
  <si>
    <t>Search not submitted, or appropriate message shown, or all results returned</t>
  </si>
  <si>
    <t>Empty search submitted. Application displayed search page gracefully. No error.</t>
  </si>
  <si>
    <t>Graceful handling of empty search</t>
  </si>
  <si>
    <t>TC-023</t>
  </si>
  <si>
    <t>User is logged in as Admin.
Multiple books exist.</t>
  </si>
  <si>
    <t>Sort by: Name, Date</t>
  </si>
  <si>
    <t>1. Navigate to /books
2. Locate sort controls
3. Try different sort criteria
4. Observe list order</t>
  </si>
  <si>
    <t>Books sorted according to selected criteria</t>
  </si>
  <si>
    <t>Sort controls available. Sorting by name and date worked correctly.</t>
  </si>
  <si>
    <t>sort_controls.png</t>
  </si>
  <si>
    <t>Sort functionality works as expected</t>
  </si>
  <si>
    <t>BookStack Demo - Functional Test Execution Summary</t>
  </si>
  <si>
    <t>Application Under Test</t>
  </si>
  <si>
    <t>BookStack Demo (https://demo.bookstackapp.com/)</t>
  </si>
  <si>
    <t>Selected Workflow</t>
  </si>
  <si>
    <t>Book Management (Create, Edit, Delete, Search)</t>
  </si>
  <si>
    <t>Tester</t>
  </si>
  <si>
    <t>SQA Assignment - Senior QA Architect</t>
  </si>
  <si>
    <t>Test Date</t>
  </si>
  <si>
    <t>2026-10-27</t>
  </si>
  <si>
    <t>Browser</t>
  </si>
  <si>
    <t>EXECUTION RESULTS</t>
  </si>
  <si>
    <t>Count</t>
  </si>
  <si>
    <t>Total Test Cases</t>
  </si>
  <si>
    <t>BLOCKED</t>
  </si>
  <si>
    <t>NOT EXECUTED</t>
  </si>
  <si>
    <t>TEST CATEGORY BREAKDOWN</t>
  </si>
  <si>
    <t>Positive Testing</t>
  </si>
  <si>
    <t>Negative Testing</t>
  </si>
  <si>
    <t>Boundary Value Testing</t>
  </si>
  <si>
    <t>Edge Case Testing</t>
  </si>
  <si>
    <t>SEVERITY DISTRIBUTION</t>
  </si>
  <si>
    <t>BUGS FOUND</t>
  </si>
  <si>
    <t>Details</t>
  </si>
  <si>
    <t>BUG-001: Duplicate Book Names Accepted Without Warning</t>
  </si>
  <si>
    <t>Severity: Medium | Priority: High</t>
  </si>
  <si>
    <t>BUG-002: Cryptic URL Slug for Special Characters</t>
  </si>
  <si>
    <t>Severity: Low | Priority: Low</t>
  </si>
  <si>
    <t>Bug Report — BookStack Demo Application</t>
  </si>
  <si>
    <t>Project</t>
  </si>
  <si>
    <t>BookStack Demo – SQA Assignment</t>
  </si>
  <si>
    <t>Application URL</t>
  </si>
  <si>
    <t>https://demo.bookstackapp.com/</t>
  </si>
  <si>
    <t>Environment</t>
  </si>
  <si>
    <t>Senior QA Architect</t>
  </si>
  <si>
    <t>BUG SUMMARY</t>
  </si>
  <si>
    <t>Bug ID</t>
  </si>
  <si>
    <t>Bug Title</t>
  </si>
  <si>
    <t>Reproducibility</t>
  </si>
  <si>
    <t>BUG-001</t>
  </si>
  <si>
    <t>Application allows creation of multiple books with identical names without any warning or confirmation</t>
  </si>
  <si>
    <t>Book Management — Create Book</t>
  </si>
  <si>
    <t>100%</t>
  </si>
  <si>
    <t>Open</t>
  </si>
  <si>
    <t>BUG-002</t>
  </si>
  <si>
    <t>Creating a book with only special characters generates a cryptic, non-descriptive URL slug</t>
  </si>
  <si>
    <t>Book Management — Create Book (URL Slug Generation)</t>
  </si>
  <si>
    <t>BUG DETAILS</t>
  </si>
  <si>
    <t>BUG-001 — Duplicate Book Names Accepted Without Warning</t>
  </si>
  <si>
    <t>Description</t>
  </si>
  <si>
    <t>The BookStack application allows users to create multiple books with exactly the same name without displaying any warning, confirmation prompt, or validation error. The system silently appends a random alphanumeric suffix to the URL slug to avoid routing collisions but presents identically-named books in the user interface, leading to user confusion and potential data organization issues.</t>
  </si>
  <si>
    <t>1. User is authenticated as Admin (admin@example.com)
2. At least one book already exists in the system</t>
  </si>
  <si>
    <t>Steps to Reproduce</t>
  </si>
  <si>
    <t>1. Navigate to https://demo.bookstackapp.com/login
2. Log in with email admin@example.com and password (demo credentials)
3. Navigate to https://demo.bookstackapp.com/create-book
4. Enter "Bug Verification Book" in the Name field
5. Click "Save Book"
6. Verify the book is created successfully (URL: /books/bug-verification-book)
7. Navigate to https://demo.bookstackapp.com/create-book again
8. Enter "Bug Verification Book" in the Name field (exact same name)
9. Click "Save Book"
10. Observe: the second book is created without any warning or error
11. Navigate to https://demo.bookstackapp.com/books to view the book listing</t>
  </si>
  <si>
    <t>One of the following behaviors should occur:
• Option A (Preferred): A validation warning is displayed ("A book with this name already exists. Do you want to continue?") requiring explicit user confirmation before creating a duplicate
• Option B: A validation error prevents creation ("A book with this name already exists. Please choose a different name.")
• Option C: The duplicate name is accepted but with a visible notification or automatic differentiation (e.g., appending "(2)" to the display name)</t>
  </si>
  <si>
    <t>• The second book is created silently without any warning, confirmation, or validation feedback
• Both books appear in the book listing with identical display names
• The only difference is in the URL slug:
     – Book 1: https://demo.bookstackapp.com/books/bug-verification-book
     – Book 2: https://demo.bookstackapp.com/books/bug-verification-book-Zfq
• Users browsing the book list cannot visually distinguish between the two books
• The random suffix in the URL slug (-Zfq) is not user-friendly and provides no meaningful differentiation</t>
  </si>
  <si>
    <t>Evidence</t>
  </si>
  <si>
    <t>Evidence File</t>
  </si>
  <si>
    <t>bug_verification_book_1_*.png</t>
  </si>
  <si>
    <t>Screenshot of the first book created with name "Bug Verification Book"</t>
  </si>
  <si>
    <t>bug_verification_book_2_*.png</t>
  </si>
  <si>
    <t>Screenshot of the second book created with the identical name — no warning shown</t>
  </si>
  <si>
    <t>duplicate_books_listing_*.png</t>
  </si>
  <si>
    <t>Books listing page showing both identically-named books</t>
  </si>
  <si>
    <t>duplicate_books_grid_*.png</t>
  </si>
  <si>
    <t>Grid view showing duplicate entries</t>
  </si>
  <si>
    <t>test_a_book_1_*.png</t>
  </si>
  <si>
    <t>Additional evidence — first "Duplicate Test Book"</t>
  </si>
  <si>
    <t>test_a_book_2_*.png</t>
  </si>
  <si>
    <t>Additional evidence — second "Duplicate Test Book"</t>
  </si>
  <si>
    <t>test_a_books_list_*.png</t>
  </si>
  <si>
    <t>Additional evidence — books list showing duplicates</t>
  </si>
  <si>
    <t>BUG-002 — Book Name with Only Special Characters Generates Non-Descriptive URL Slug</t>
  </si>
  <si>
    <t>When a book is created with a name consisting entirely of special characters (e.g., !@#$%^&amp;*()), the system strips all special characters during URL slug generation, resulting in a cryptic, meaningless slug (e.g., at-D26). While the book is created successfully, the resulting URL is not user-friendly and provides no indication of the book's content.</t>
  </si>
  <si>
    <t>1. User is authenticated as Admin</t>
  </si>
  <si>
    <t>1. Navigate to https://demo.bookstackapp.com/create-book
2. Enter !@#$%^&amp;*() in the Name field
3. Click "Save Book"
4. Observe the URL of the created book</t>
  </si>
  <si>
    <t>The system should either:
• Reject the name and display a validation message (e.g., "Book name must contain at least one alphanumeric character")
• Generate a meaningful fallback slug (e.g., book-&lt;timestamp&gt; or untitled-book)</t>
  </si>
  <si>
    <t>• The book is created successfully with the special-character name
• The URL slug generated is cryptic and non-descriptive: https://demo.bookstackapp.com/books/at-D26
• The slug bears no meaningful relationship to the book name
• Users sharing or bookmarking this URL would find it meaningless</t>
  </si>
  <si>
    <t>special_chars_book_*.png</t>
  </si>
  <si>
    <t>Screenshot showing the book page with special character name and cryptic URL</t>
  </si>
  <si>
    <t>special_chars_book_exam_*.png</t>
  </si>
  <si>
    <t>Additional evidence of the special character book</t>
  </si>
  <si>
    <t>End of Bug Report</t>
  </si>
  <si>
    <t>Test Titles</t>
  </si>
  <si>
    <t>Verify Search for a book by name</t>
  </si>
  <si>
    <t>Verify submit book creation with empty name</t>
  </si>
  <si>
    <t>Verify create a page inside a book</t>
  </si>
  <si>
    <t>Verify create a book with numeric-only name</t>
  </si>
  <si>
    <t>Verify edit an existing book name</t>
  </si>
  <si>
    <t>Verify create a book with name and description</t>
  </si>
  <si>
    <t>Verify create a book with a valid name</t>
  </si>
  <si>
    <t>Verify submit with whitespace-only name</t>
  </si>
  <si>
    <t>Verify edit form - clear name to empty and save</t>
  </si>
  <si>
    <t>Verify create book with XSS payload in name</t>
  </si>
  <si>
    <t>Verify search with HTML/special character payload</t>
  </si>
  <si>
    <t>Verify create book with minimum valid name (1 char)</t>
  </si>
  <si>
    <t>Verify create book with very long name (250 chars)</t>
  </si>
  <si>
    <t>Verify create page with very long name (200+ chars)</t>
  </si>
  <si>
    <t>verify create page with empty body content</t>
  </si>
  <si>
    <t>Verify create book with duplicate name</t>
  </si>
  <si>
    <t>Verify create book with special characters only</t>
  </si>
  <si>
    <t>Verify create book with Unicode/Emoji characters</t>
  </si>
  <si>
    <t>Verify create book with name matching URL path</t>
  </si>
  <si>
    <t>Verify browser back button after form submission</t>
  </si>
  <si>
    <t>Verify delete book - confirmation flow</t>
  </si>
  <si>
    <t>Verify empty search query submission</t>
  </si>
  <si>
    <t>Verify book sort functionality on listing page</t>
  </si>
  <si>
    <t>Chrome</t>
  </si>
  <si>
    <t xml:space="preserve">book_edited_success.png
</t>
  </si>
  <si>
    <t>search_results.png</t>
  </si>
  <si>
    <t>create-book.png</t>
  </si>
  <si>
    <t>single_character_A.png</t>
  </si>
  <si>
    <t>BookStack Demo (Public Instance), Chrome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</si>
</sst>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006100"/>
      <name val="Calibri"/>
      <charset val="1"/>
    </font>
    <font>
      <b/>
      <sz val="11"/>
      <color rgb="FF9C0006"/>
      <name val="Calibri"/>
      <charset val="1"/>
    </font>
    <font>
      <b/>
      <sz val="14"/>
      <color rgb="FF1F4E79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b/>
      <sz val="18"/>
      <color rgb="FF1F4E79"/>
      <name val="Calibri"/>
      <charset val="1"/>
    </font>
    <font>
      <b/>
      <sz val="10.5"/>
      <color rgb="FF1F4E79"/>
      <name val="Calibri"/>
      <charset val="1"/>
    </font>
    <font>
      <sz val="10.5"/>
      <name val="Calibri"/>
      <charset val="1"/>
    </font>
    <font>
      <u/>
      <sz val="10.5"/>
      <color rgb="FF0563C1"/>
      <name val="Calibri"/>
      <charset val="1"/>
    </font>
    <font>
      <b/>
      <sz val="12"/>
      <color rgb="FFFFFFFF"/>
      <name val="Calibri"/>
      <charset val="1"/>
    </font>
    <font>
      <b/>
      <sz val="10.5"/>
      <color rgb="FF9C5700"/>
      <name val="Calibri"/>
      <charset val="1"/>
    </font>
    <font>
      <b/>
      <sz val="10.5"/>
      <color rgb="FF9C0006"/>
      <name val="Calibri"/>
      <charset val="1"/>
    </font>
    <font>
      <b/>
      <sz val="10.5"/>
      <color rgb="FF006100"/>
      <name val="Calibri"/>
      <charset val="1"/>
    </font>
    <font>
      <b/>
      <sz val="11.5"/>
      <color rgb="FFFFFFFF"/>
      <name val="Calibri"/>
      <charset val="1"/>
    </font>
    <font>
      <b/>
      <sz val="10"/>
      <color rgb="FF1F4E79"/>
      <name val="Calibri"/>
      <charset val="1"/>
    </font>
    <font>
      <i/>
      <sz val="10"/>
      <color rgb="FF7F7F7F"/>
      <name val="Calibri"/>
      <charset val="1"/>
    </font>
    <font>
      <sz val="11"/>
      <color rgb="FF9C57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D6E4F0"/>
        <bgColor rgb="FFEAF1F8"/>
      </patternFill>
    </fill>
    <fill>
      <patternFill patternType="solid">
        <fgColor rgb="FFFCE4D6"/>
        <bgColor rgb="FFEAF1F8"/>
      </patternFill>
    </fill>
    <fill>
      <patternFill patternType="solid">
        <fgColor rgb="FF2E75B6"/>
        <bgColor rgb="FF0563C1"/>
      </patternFill>
    </fill>
    <fill>
      <patternFill patternType="solid">
        <fgColor rgb="FFEAF1F8"/>
        <bgColor rgb="FFFFFBEA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BE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8" fillId="10" borderId="0" applyNumberFormat="0" applyBorder="0" applyAlignment="0" applyProtection="0"/>
  </cellStyleXfs>
  <cellXfs count="43">
    <xf numFmtId="0" fontId="0" fillId="0" borderId="0" xfId="0"/>
    <xf numFmtId="0" fontId="16" fillId="9" borderId="3" xfId="0" applyFont="1" applyFill="1" applyBorder="1" applyAlignment="1">
      <alignment vertical="top" wrapText="1"/>
    </xf>
    <xf numFmtId="0" fontId="8" fillId="6" borderId="3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0" fillId="3" borderId="0" xfId="0" applyFill="1"/>
    <xf numFmtId="0" fontId="0" fillId="5" borderId="0" xfId="0" applyFill="1"/>
    <xf numFmtId="0" fontId="0" fillId="4" borderId="0" xfId="0" applyFill="1"/>
    <xf numFmtId="0" fontId="8" fillId="6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7" fillId="0" borderId="0" xfId="0" applyFont="1"/>
    <xf numFmtId="0" fontId="9" fillId="0" borderId="3" xfId="0" applyFont="1" applyBorder="1" applyAlignment="1">
      <alignment vertical="top" wrapText="1"/>
    </xf>
    <xf numFmtId="0" fontId="8" fillId="6" borderId="3" xfId="0" applyFont="1" applyFill="1" applyBorder="1" applyAlignment="1">
      <alignment vertical="top" wrapText="1"/>
    </xf>
    <xf numFmtId="0" fontId="16" fillId="9" borderId="3" xfId="0" applyFont="1" applyFill="1" applyBorder="1" applyAlignment="1">
      <alignment vertical="top" wrapText="1"/>
    </xf>
    <xf numFmtId="0" fontId="15" fillId="8" borderId="3" xfId="0" applyFont="1" applyFill="1" applyBorder="1" applyAlignment="1">
      <alignment vertical="center" indent="1"/>
    </xf>
    <xf numFmtId="0" fontId="11" fillId="2" borderId="3" xfId="0" applyFont="1" applyFill="1" applyBorder="1" applyAlignment="1">
      <alignment vertical="center" indent="1"/>
    </xf>
    <xf numFmtId="0" fontId="7" fillId="0" borderId="2" xfId="0" applyFont="1" applyBorder="1" applyAlignment="1">
      <alignment vertical="center"/>
    </xf>
    <xf numFmtId="0" fontId="10" fillId="0" borderId="3" xfId="0" applyFont="1" applyBorder="1" applyAlignment="1">
      <alignment vertical="top" wrapText="1"/>
    </xf>
    <xf numFmtId="0" fontId="18" fillId="11" borderId="4" xfId="1" applyFill="1" applyBorder="1"/>
    <xf numFmtId="0" fontId="18" fillId="11" borderId="5" xfId="1" applyFill="1" applyBorder="1"/>
    <xf numFmtId="0" fontId="9" fillId="0" borderId="6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15" fillId="8" borderId="6" xfId="0" applyFont="1" applyFill="1" applyBorder="1" applyAlignment="1">
      <alignment vertical="center" indent="1"/>
    </xf>
    <xf numFmtId="0" fontId="15" fillId="8" borderId="7" xfId="0" applyFont="1" applyFill="1" applyBorder="1" applyAlignment="1">
      <alignment vertical="center" indent="1"/>
    </xf>
    <xf numFmtId="0" fontId="15" fillId="8" borderId="8" xfId="0" applyFont="1" applyFill="1" applyBorder="1" applyAlignment="1">
      <alignment vertical="center" indent="1"/>
    </xf>
    <xf numFmtId="0" fontId="16" fillId="12" borderId="6" xfId="0" applyFont="1" applyFill="1" applyBorder="1" applyAlignment="1">
      <alignment vertical="top" wrapText="1"/>
    </xf>
    <xf numFmtId="0" fontId="16" fillId="12" borderId="8" xfId="0" applyFont="1" applyFill="1" applyBorder="1" applyAlignment="1">
      <alignment vertical="top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BEA"/>
      <rgbColor rgb="FFEAF1F8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bookstack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opLeftCell="D1" zoomScaleNormal="100" workbookViewId="0">
      <pane ySplit="1" topLeftCell="A20" activePane="bottomLeft" state="frozen"/>
      <selection pane="bottomLeft" activeCell="M14" sqref="M14"/>
    </sheetView>
  </sheetViews>
  <sheetFormatPr defaultColWidth="8.7109375" defaultRowHeight="15" x14ac:dyDescent="0.25"/>
  <cols>
    <col min="1" max="1" width="14" customWidth="1"/>
    <col min="2" max="2" width="18" customWidth="1"/>
    <col min="3" max="3" width="32" customWidth="1"/>
    <col min="4" max="4" width="18" customWidth="1"/>
    <col min="5" max="6" width="26" customWidth="1"/>
    <col min="7" max="7" width="44" customWidth="1"/>
    <col min="8" max="9" width="32" customWidth="1"/>
    <col min="10" max="10" width="12" customWidth="1"/>
    <col min="11" max="12" width="10" customWidth="1"/>
    <col min="13" max="13" width="28" customWidth="1"/>
    <col min="14" max="14" width="24" customWidth="1"/>
  </cols>
  <sheetData>
    <row r="1" spans="1:14" ht="15" customHeight="1" x14ac:dyDescent="0.25">
      <c r="A1" s="4" t="s">
        <v>0</v>
      </c>
      <c r="B1" s="4" t="s">
        <v>1</v>
      </c>
      <c r="C1" s="4" t="s">
        <v>269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ht="79.5" customHeight="1" x14ac:dyDescent="0.25">
      <c r="A2" s="5" t="s">
        <v>13</v>
      </c>
      <c r="B2" s="5" t="s">
        <v>14</v>
      </c>
      <c r="C2" s="5" t="s">
        <v>276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6" t="s">
        <v>21</v>
      </c>
      <c r="K2" s="7" t="s">
        <v>22</v>
      </c>
      <c r="L2" s="7" t="s">
        <v>22</v>
      </c>
      <c r="M2" s="5" t="s">
        <v>23</v>
      </c>
      <c r="N2" s="5" t="s">
        <v>24</v>
      </c>
    </row>
    <row r="3" spans="1:14" ht="79.5" customHeight="1" x14ac:dyDescent="0.25">
      <c r="A3" s="5" t="s">
        <v>25</v>
      </c>
      <c r="B3" s="5" t="s">
        <v>14</v>
      </c>
      <c r="C3" s="5" t="s">
        <v>275</v>
      </c>
      <c r="D3" s="5" t="s">
        <v>15</v>
      </c>
      <c r="E3" s="5" t="s">
        <v>16</v>
      </c>
      <c r="F3" s="5" t="s">
        <v>26</v>
      </c>
      <c r="G3" s="5" t="s">
        <v>27</v>
      </c>
      <c r="H3" s="5" t="s">
        <v>28</v>
      </c>
      <c r="I3" s="5" t="s">
        <v>29</v>
      </c>
      <c r="J3" s="6" t="s">
        <v>21</v>
      </c>
      <c r="K3" s="8" t="s">
        <v>30</v>
      </c>
      <c r="L3" s="8" t="s">
        <v>30</v>
      </c>
      <c r="M3" s="5" t="s">
        <v>31</v>
      </c>
      <c r="N3" s="5" t="s">
        <v>32</v>
      </c>
    </row>
    <row r="4" spans="1:14" ht="79.5" customHeight="1" x14ac:dyDescent="0.25">
      <c r="A4" s="5" t="s">
        <v>33</v>
      </c>
      <c r="B4" s="5" t="s">
        <v>14</v>
      </c>
      <c r="C4" s="5" t="s">
        <v>274</v>
      </c>
      <c r="D4" s="5" t="s">
        <v>15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6" t="s">
        <v>21</v>
      </c>
      <c r="K4" s="7" t="s">
        <v>22</v>
      </c>
      <c r="L4" s="7" t="s">
        <v>22</v>
      </c>
      <c r="M4" s="5" t="s">
        <v>294</v>
      </c>
      <c r="N4" s="5" t="s">
        <v>39</v>
      </c>
    </row>
    <row r="5" spans="1:14" ht="79.5" customHeight="1" x14ac:dyDescent="0.25">
      <c r="A5" s="5" t="s">
        <v>40</v>
      </c>
      <c r="B5" s="5" t="s">
        <v>14</v>
      </c>
      <c r="C5" s="5" t="s">
        <v>270</v>
      </c>
      <c r="D5" s="5" t="s">
        <v>15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6" t="s">
        <v>21</v>
      </c>
      <c r="K5" s="7" t="s">
        <v>22</v>
      </c>
      <c r="L5" s="7" t="s">
        <v>22</v>
      </c>
      <c r="M5" s="5" t="s">
        <v>46</v>
      </c>
      <c r="N5" s="5" t="s">
        <v>47</v>
      </c>
    </row>
    <row r="6" spans="1:14" ht="79.5" customHeight="1" x14ac:dyDescent="0.25">
      <c r="A6" s="5" t="s">
        <v>48</v>
      </c>
      <c r="B6" s="5" t="s">
        <v>14</v>
      </c>
      <c r="C6" s="5" t="s">
        <v>273</v>
      </c>
      <c r="D6" s="5" t="s">
        <v>15</v>
      </c>
      <c r="E6" s="5" t="s">
        <v>16</v>
      </c>
      <c r="F6" s="5" t="s">
        <v>49</v>
      </c>
      <c r="G6" s="5" t="s">
        <v>50</v>
      </c>
      <c r="H6" s="5" t="s">
        <v>51</v>
      </c>
      <c r="I6" s="5" t="s">
        <v>52</v>
      </c>
      <c r="J6" s="6" t="s">
        <v>21</v>
      </c>
      <c r="K6" s="8" t="s">
        <v>30</v>
      </c>
      <c r="L6" s="8" t="s">
        <v>30</v>
      </c>
      <c r="M6" s="5" t="s">
        <v>53</v>
      </c>
      <c r="N6" s="5" t="s">
        <v>54</v>
      </c>
    </row>
    <row r="7" spans="1:14" ht="79.5" customHeight="1" x14ac:dyDescent="0.25">
      <c r="A7" s="5" t="s">
        <v>55</v>
      </c>
      <c r="B7" s="5" t="s">
        <v>14</v>
      </c>
      <c r="C7" s="5" t="s">
        <v>272</v>
      </c>
      <c r="D7" s="5" t="s">
        <v>15</v>
      </c>
      <c r="E7" s="5" t="s">
        <v>56</v>
      </c>
      <c r="F7" s="5" t="s">
        <v>57</v>
      </c>
      <c r="G7" s="5" t="s">
        <v>58</v>
      </c>
      <c r="H7" s="5" t="s">
        <v>59</v>
      </c>
      <c r="I7" s="5" t="s">
        <v>60</v>
      </c>
      <c r="J7" s="6" t="s">
        <v>21</v>
      </c>
      <c r="K7" s="7" t="s">
        <v>22</v>
      </c>
      <c r="L7" s="7" t="s">
        <v>22</v>
      </c>
      <c r="M7" s="5" t="s">
        <v>61</v>
      </c>
      <c r="N7" s="5"/>
    </row>
    <row r="8" spans="1:14" ht="79.5" customHeight="1" x14ac:dyDescent="0.25">
      <c r="A8" s="5" t="s">
        <v>62</v>
      </c>
      <c r="B8" s="5" t="s">
        <v>14</v>
      </c>
      <c r="C8" s="5" t="s">
        <v>271</v>
      </c>
      <c r="D8" s="5" t="s">
        <v>63</v>
      </c>
      <c r="E8" s="5" t="s">
        <v>16</v>
      </c>
      <c r="F8" s="5" t="s">
        <v>64</v>
      </c>
      <c r="G8" s="5" t="s">
        <v>65</v>
      </c>
      <c r="H8" s="5" t="s">
        <v>66</v>
      </c>
      <c r="I8" s="5" t="s">
        <v>67</v>
      </c>
      <c r="J8" s="6" t="s">
        <v>21</v>
      </c>
      <c r="K8" s="9" t="s">
        <v>68</v>
      </c>
      <c r="L8" s="9" t="s">
        <v>68</v>
      </c>
      <c r="M8" s="5" t="s">
        <v>69</v>
      </c>
      <c r="N8" s="5" t="s">
        <v>70</v>
      </c>
    </row>
    <row r="9" spans="1:14" ht="79.5" customHeight="1" x14ac:dyDescent="0.25">
      <c r="A9" s="5" t="s">
        <v>71</v>
      </c>
      <c r="B9" s="5" t="s">
        <v>14</v>
      </c>
      <c r="C9" s="5" t="s">
        <v>277</v>
      </c>
      <c r="D9" s="5" t="s">
        <v>63</v>
      </c>
      <c r="E9" s="5" t="s">
        <v>16</v>
      </c>
      <c r="F9" s="5" t="s">
        <v>72</v>
      </c>
      <c r="G9" s="5" t="s">
        <v>73</v>
      </c>
      <c r="H9" s="5" t="s">
        <v>74</v>
      </c>
      <c r="I9" s="5" t="s">
        <v>75</v>
      </c>
      <c r="J9" s="6" t="s">
        <v>21</v>
      </c>
      <c r="K9" s="9" t="s">
        <v>68</v>
      </c>
      <c r="L9" s="9" t="s">
        <v>68</v>
      </c>
      <c r="M9" s="5" t="s">
        <v>76</v>
      </c>
      <c r="N9" s="5" t="s">
        <v>77</v>
      </c>
    </row>
    <row r="10" spans="1:14" ht="79.5" customHeight="1" x14ac:dyDescent="0.25">
      <c r="A10" s="5" t="s">
        <v>78</v>
      </c>
      <c r="B10" s="5" t="s">
        <v>14</v>
      </c>
      <c r="C10" s="5" t="s">
        <v>278</v>
      </c>
      <c r="D10" s="5" t="s">
        <v>63</v>
      </c>
      <c r="E10" s="5" t="s">
        <v>79</v>
      </c>
      <c r="F10" s="5" t="s">
        <v>80</v>
      </c>
      <c r="G10" s="5" t="s">
        <v>81</v>
      </c>
      <c r="H10" s="5" t="s">
        <v>82</v>
      </c>
      <c r="I10" s="5" t="s">
        <v>83</v>
      </c>
      <c r="J10" s="6" t="s">
        <v>21</v>
      </c>
      <c r="K10" s="9" t="s">
        <v>68</v>
      </c>
      <c r="L10" s="9" t="s">
        <v>68</v>
      </c>
      <c r="M10" s="5" t="s">
        <v>84</v>
      </c>
      <c r="N10" s="5" t="s">
        <v>85</v>
      </c>
    </row>
    <row r="11" spans="1:14" ht="79.5" customHeight="1" x14ac:dyDescent="0.25">
      <c r="A11" s="5" t="s">
        <v>86</v>
      </c>
      <c r="B11" s="5" t="s">
        <v>14</v>
      </c>
      <c r="C11" s="5" t="s">
        <v>279</v>
      </c>
      <c r="D11" s="5" t="s">
        <v>63</v>
      </c>
      <c r="E11" s="5" t="s">
        <v>16</v>
      </c>
      <c r="F11" s="5" t="s">
        <v>87</v>
      </c>
      <c r="G11" s="5" t="s">
        <v>88</v>
      </c>
      <c r="H11" s="5" t="s">
        <v>89</v>
      </c>
      <c r="I11" s="5" t="s">
        <v>90</v>
      </c>
      <c r="J11" s="6" t="s">
        <v>21</v>
      </c>
      <c r="K11" s="9" t="s">
        <v>68</v>
      </c>
      <c r="L11" s="9" t="s">
        <v>68</v>
      </c>
      <c r="M11" s="5" t="s">
        <v>91</v>
      </c>
      <c r="N11" s="5" t="s">
        <v>92</v>
      </c>
    </row>
    <row r="12" spans="1:14" ht="79.5" customHeight="1" x14ac:dyDescent="0.25">
      <c r="A12" s="5" t="s">
        <v>93</v>
      </c>
      <c r="B12" s="5" t="s">
        <v>14</v>
      </c>
      <c r="C12" s="5" t="s">
        <v>280</v>
      </c>
      <c r="D12" s="5" t="s">
        <v>63</v>
      </c>
      <c r="E12" s="5" t="s">
        <v>16</v>
      </c>
      <c r="F12" s="5" t="s">
        <v>94</v>
      </c>
      <c r="G12" s="5" t="s">
        <v>95</v>
      </c>
      <c r="H12" s="5" t="s">
        <v>96</v>
      </c>
      <c r="I12" s="5" t="s">
        <v>97</v>
      </c>
      <c r="J12" s="6" t="s">
        <v>21</v>
      </c>
      <c r="K12" s="9" t="s">
        <v>68</v>
      </c>
      <c r="L12" s="9" t="s">
        <v>68</v>
      </c>
      <c r="M12" s="5" t="s">
        <v>98</v>
      </c>
      <c r="N12" s="5" t="s">
        <v>99</v>
      </c>
    </row>
    <row r="13" spans="1:14" ht="79.5" customHeight="1" x14ac:dyDescent="0.25">
      <c r="A13" s="5" t="s">
        <v>100</v>
      </c>
      <c r="B13" s="5" t="s">
        <v>14</v>
      </c>
      <c r="C13" s="5" t="s">
        <v>281</v>
      </c>
      <c r="D13" s="5" t="s">
        <v>101</v>
      </c>
      <c r="E13" s="5" t="s">
        <v>16</v>
      </c>
      <c r="F13" s="5" t="s">
        <v>102</v>
      </c>
      <c r="G13" s="5" t="s">
        <v>103</v>
      </c>
      <c r="H13" s="5" t="s">
        <v>104</v>
      </c>
      <c r="I13" s="5" t="s">
        <v>105</v>
      </c>
      <c r="J13" s="6" t="s">
        <v>21</v>
      </c>
      <c r="K13" s="7" t="s">
        <v>22</v>
      </c>
      <c r="L13" s="7" t="s">
        <v>22</v>
      </c>
      <c r="M13" s="5" t="s">
        <v>297</v>
      </c>
      <c r="N13" s="5" t="s">
        <v>106</v>
      </c>
    </row>
    <row r="14" spans="1:14" ht="79.5" customHeight="1" x14ac:dyDescent="0.25">
      <c r="A14" s="5" t="s">
        <v>107</v>
      </c>
      <c r="B14" s="5" t="s">
        <v>14</v>
      </c>
      <c r="C14" s="5" t="s">
        <v>282</v>
      </c>
      <c r="D14" s="5" t="s">
        <v>101</v>
      </c>
      <c r="E14" s="5" t="s">
        <v>16</v>
      </c>
      <c r="F14" s="5" t="s">
        <v>108</v>
      </c>
      <c r="G14" s="5" t="s">
        <v>109</v>
      </c>
      <c r="H14" s="5" t="s">
        <v>110</v>
      </c>
      <c r="I14" s="5" t="s">
        <v>111</v>
      </c>
      <c r="J14" s="6" t="s">
        <v>21</v>
      </c>
      <c r="K14" s="7" t="s">
        <v>22</v>
      </c>
      <c r="L14" s="7" t="s">
        <v>22</v>
      </c>
      <c r="M14" s="5" t="s">
        <v>112</v>
      </c>
      <c r="N14" s="5" t="s">
        <v>113</v>
      </c>
    </row>
    <row r="15" spans="1:14" ht="79.5" customHeight="1" x14ac:dyDescent="0.25">
      <c r="A15" s="5" t="s">
        <v>114</v>
      </c>
      <c r="B15" s="5" t="s">
        <v>14</v>
      </c>
      <c r="C15" s="5" t="s">
        <v>283</v>
      </c>
      <c r="D15" s="5" t="s">
        <v>101</v>
      </c>
      <c r="E15" s="5" t="s">
        <v>115</v>
      </c>
      <c r="F15" s="5" t="s">
        <v>116</v>
      </c>
      <c r="G15" s="5" t="s">
        <v>117</v>
      </c>
      <c r="H15" s="5" t="s">
        <v>118</v>
      </c>
      <c r="I15" s="5" t="s">
        <v>119</v>
      </c>
      <c r="J15" s="6" t="s">
        <v>21</v>
      </c>
      <c r="K15" s="7" t="s">
        <v>22</v>
      </c>
      <c r="L15" s="7" t="s">
        <v>22</v>
      </c>
      <c r="M15" s="5" t="s">
        <v>120</v>
      </c>
      <c r="N15" s="5" t="s">
        <v>121</v>
      </c>
    </row>
    <row r="16" spans="1:14" ht="79.5" customHeight="1" x14ac:dyDescent="0.25">
      <c r="A16" s="5" t="s">
        <v>122</v>
      </c>
      <c r="B16" s="5" t="s">
        <v>14</v>
      </c>
      <c r="C16" s="5" t="s">
        <v>284</v>
      </c>
      <c r="D16" s="5" t="s">
        <v>101</v>
      </c>
      <c r="E16" s="5" t="s">
        <v>115</v>
      </c>
      <c r="F16" s="5" t="s">
        <v>123</v>
      </c>
      <c r="G16" s="5" t="s">
        <v>124</v>
      </c>
      <c r="H16" s="5" t="s">
        <v>125</v>
      </c>
      <c r="I16" s="5" t="s">
        <v>126</v>
      </c>
      <c r="J16" s="6" t="s">
        <v>21</v>
      </c>
      <c r="K16" s="8" t="s">
        <v>30</v>
      </c>
      <c r="L16" s="8" t="s">
        <v>30</v>
      </c>
      <c r="M16" s="5" t="s">
        <v>127</v>
      </c>
      <c r="N16" s="5" t="s">
        <v>128</v>
      </c>
    </row>
    <row r="17" spans="1:14" ht="79.5" customHeight="1" x14ac:dyDescent="0.25">
      <c r="A17" s="5" t="s">
        <v>129</v>
      </c>
      <c r="B17" s="5" t="s">
        <v>14</v>
      </c>
      <c r="C17" s="5" t="s">
        <v>285</v>
      </c>
      <c r="D17" s="5" t="s">
        <v>130</v>
      </c>
      <c r="E17" s="5" t="s">
        <v>131</v>
      </c>
      <c r="F17" s="5" t="s">
        <v>132</v>
      </c>
      <c r="G17" s="5" t="s">
        <v>133</v>
      </c>
      <c r="H17" s="5" t="s">
        <v>134</v>
      </c>
      <c r="I17" s="5" t="s">
        <v>135</v>
      </c>
      <c r="J17" s="10" t="s">
        <v>136</v>
      </c>
      <c r="K17" s="7" t="s">
        <v>22</v>
      </c>
      <c r="L17" s="9" t="s">
        <v>68</v>
      </c>
      <c r="M17" s="5" t="s">
        <v>137</v>
      </c>
      <c r="N17" s="5" t="s">
        <v>138</v>
      </c>
    </row>
    <row r="18" spans="1:14" ht="79.5" customHeight="1" x14ac:dyDescent="0.25">
      <c r="A18" s="5" t="s">
        <v>139</v>
      </c>
      <c r="B18" s="5" t="s">
        <v>14</v>
      </c>
      <c r="C18" s="5" t="s">
        <v>286</v>
      </c>
      <c r="D18" s="5" t="s">
        <v>130</v>
      </c>
      <c r="E18" s="5" t="s">
        <v>16</v>
      </c>
      <c r="F18" s="5" t="s">
        <v>140</v>
      </c>
      <c r="G18" s="5" t="s">
        <v>141</v>
      </c>
      <c r="H18" s="5" t="s">
        <v>142</v>
      </c>
      <c r="I18" s="5" t="s">
        <v>143</v>
      </c>
      <c r="J18" s="6" t="s">
        <v>21</v>
      </c>
      <c r="K18" s="8" t="s">
        <v>30</v>
      </c>
      <c r="L18" s="8" t="s">
        <v>30</v>
      </c>
      <c r="M18" s="5" t="s">
        <v>144</v>
      </c>
      <c r="N18" s="5" t="s">
        <v>145</v>
      </c>
    </row>
    <row r="19" spans="1:14" ht="79.5" customHeight="1" x14ac:dyDescent="0.25">
      <c r="A19" s="5" t="s">
        <v>146</v>
      </c>
      <c r="B19" s="5" t="s">
        <v>14</v>
      </c>
      <c r="C19" s="5" t="s">
        <v>287</v>
      </c>
      <c r="D19" s="5" t="s">
        <v>130</v>
      </c>
      <c r="E19" s="5" t="s">
        <v>16</v>
      </c>
      <c r="F19" s="5" t="s">
        <v>147</v>
      </c>
      <c r="G19" s="5" t="s">
        <v>148</v>
      </c>
      <c r="H19" s="5" t="s">
        <v>149</v>
      </c>
      <c r="I19" s="5" t="s">
        <v>150</v>
      </c>
      <c r="J19" s="6" t="s">
        <v>21</v>
      </c>
      <c r="K19" s="7" t="s">
        <v>22</v>
      </c>
      <c r="L19" s="8" t="s">
        <v>30</v>
      </c>
      <c r="M19" s="5" t="s">
        <v>151</v>
      </c>
      <c r="N19" s="5" t="s">
        <v>152</v>
      </c>
    </row>
    <row r="20" spans="1:14" ht="79.5" customHeight="1" x14ac:dyDescent="0.25">
      <c r="A20" s="5" t="s">
        <v>153</v>
      </c>
      <c r="B20" s="5" t="s">
        <v>14</v>
      </c>
      <c r="C20" s="5" t="s">
        <v>288</v>
      </c>
      <c r="D20" s="5" t="s">
        <v>130</v>
      </c>
      <c r="E20" s="5" t="s">
        <v>16</v>
      </c>
      <c r="F20" s="5" t="s">
        <v>154</v>
      </c>
      <c r="G20" s="5" t="s">
        <v>155</v>
      </c>
      <c r="H20" s="5" t="s">
        <v>156</v>
      </c>
      <c r="I20" s="5" t="s">
        <v>157</v>
      </c>
      <c r="J20" s="6" t="s">
        <v>21</v>
      </c>
      <c r="K20" s="9" t="s">
        <v>68</v>
      </c>
      <c r="L20" s="9" t="s">
        <v>68</v>
      </c>
      <c r="M20" s="5" t="s">
        <v>296</v>
      </c>
      <c r="N20" s="5" t="s">
        <v>158</v>
      </c>
    </row>
    <row r="21" spans="1:14" ht="79.5" customHeight="1" x14ac:dyDescent="0.25">
      <c r="A21" s="5" t="s">
        <v>159</v>
      </c>
      <c r="B21" s="5" t="s">
        <v>14</v>
      </c>
      <c r="C21" s="5" t="s">
        <v>289</v>
      </c>
      <c r="D21" s="5" t="s">
        <v>130</v>
      </c>
      <c r="E21" s="5" t="s">
        <v>16</v>
      </c>
      <c r="F21" s="5" t="s">
        <v>160</v>
      </c>
      <c r="G21" s="5" t="s">
        <v>161</v>
      </c>
      <c r="H21" s="5" t="s">
        <v>162</v>
      </c>
      <c r="I21" s="5" t="s">
        <v>163</v>
      </c>
      <c r="J21" s="6" t="s">
        <v>21</v>
      </c>
      <c r="K21" s="7" t="s">
        <v>22</v>
      </c>
      <c r="L21" s="7" t="s">
        <v>22</v>
      </c>
      <c r="M21" s="5" t="s">
        <v>164</v>
      </c>
      <c r="N21" s="5" t="s">
        <v>165</v>
      </c>
    </row>
    <row r="22" spans="1:14" ht="79.5" customHeight="1" x14ac:dyDescent="0.25">
      <c r="A22" s="5" t="s">
        <v>166</v>
      </c>
      <c r="B22" s="5" t="s">
        <v>14</v>
      </c>
      <c r="C22" s="5" t="s">
        <v>290</v>
      </c>
      <c r="D22" s="5" t="s">
        <v>130</v>
      </c>
      <c r="E22" s="5" t="s">
        <v>115</v>
      </c>
      <c r="F22" s="5" t="s">
        <v>167</v>
      </c>
      <c r="G22" s="5" t="s">
        <v>168</v>
      </c>
      <c r="H22" s="5" t="s">
        <v>169</v>
      </c>
      <c r="I22" s="5" t="s">
        <v>170</v>
      </c>
      <c r="J22" s="6" t="s">
        <v>21</v>
      </c>
      <c r="K22" s="9" t="s">
        <v>68</v>
      </c>
      <c r="L22" s="9" t="s">
        <v>68</v>
      </c>
      <c r="M22" s="5" t="s">
        <v>171</v>
      </c>
      <c r="N22" s="5" t="s">
        <v>172</v>
      </c>
    </row>
    <row r="23" spans="1:14" ht="79.5" customHeight="1" x14ac:dyDescent="0.25">
      <c r="A23" s="5" t="s">
        <v>173</v>
      </c>
      <c r="B23" s="5" t="s">
        <v>14</v>
      </c>
      <c r="C23" s="5" t="s">
        <v>291</v>
      </c>
      <c r="D23" s="5" t="s">
        <v>130</v>
      </c>
      <c r="E23" s="5" t="s">
        <v>16</v>
      </c>
      <c r="F23" s="5" t="s">
        <v>174</v>
      </c>
      <c r="G23" s="5" t="s">
        <v>175</v>
      </c>
      <c r="H23" s="5" t="s">
        <v>176</v>
      </c>
      <c r="I23" s="5" t="s">
        <v>177</v>
      </c>
      <c r="J23" s="6" t="s">
        <v>21</v>
      </c>
      <c r="K23" s="8" t="s">
        <v>30</v>
      </c>
      <c r="L23" s="8" t="s">
        <v>30</v>
      </c>
      <c r="M23" s="5" t="s">
        <v>295</v>
      </c>
      <c r="N23" s="5" t="s">
        <v>178</v>
      </c>
    </row>
    <row r="24" spans="1:14" ht="79.5" customHeight="1" x14ac:dyDescent="0.25">
      <c r="A24" s="5" t="s">
        <v>179</v>
      </c>
      <c r="B24" s="5" t="s">
        <v>14</v>
      </c>
      <c r="C24" s="5" t="s">
        <v>292</v>
      </c>
      <c r="D24" s="5" t="s">
        <v>130</v>
      </c>
      <c r="E24" s="5" t="s">
        <v>180</v>
      </c>
      <c r="F24" s="5" t="s">
        <v>181</v>
      </c>
      <c r="G24" s="5" t="s">
        <v>182</v>
      </c>
      <c r="H24" s="5" t="s">
        <v>183</v>
      </c>
      <c r="I24" s="5" t="s">
        <v>184</v>
      </c>
      <c r="J24" s="6" t="s">
        <v>21</v>
      </c>
      <c r="K24" s="7" t="s">
        <v>22</v>
      </c>
      <c r="L24" s="7" t="s">
        <v>22</v>
      </c>
      <c r="M24" s="5" t="s">
        <v>185</v>
      </c>
      <c r="N24" s="5" t="s">
        <v>186</v>
      </c>
    </row>
  </sheetData>
  <autoFilter ref="A1:N2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zoomScaleNormal="100" workbookViewId="0">
      <selection activeCell="H7" sqref="H7"/>
    </sheetView>
  </sheetViews>
  <sheetFormatPr defaultColWidth="8.7109375" defaultRowHeight="15" x14ac:dyDescent="0.25"/>
  <cols>
    <col min="1" max="1" width="68.7109375" customWidth="1"/>
    <col min="2" max="2" width="50" customWidth="1"/>
  </cols>
  <sheetData>
    <row r="1" spans="1:2" ht="17.25" customHeight="1" x14ac:dyDescent="0.25">
      <c r="A1" s="11" t="s">
        <v>187</v>
      </c>
    </row>
    <row r="3" spans="1:2" ht="15" customHeight="1" x14ac:dyDescent="0.25">
      <c r="A3" s="12" t="s">
        <v>188</v>
      </c>
      <c r="B3" t="s">
        <v>189</v>
      </c>
    </row>
    <row r="4" spans="1:2" ht="15" customHeight="1" x14ac:dyDescent="0.25">
      <c r="A4" s="12" t="s">
        <v>190</v>
      </c>
      <c r="B4" t="s">
        <v>191</v>
      </c>
    </row>
    <row r="5" spans="1:2" ht="15" customHeight="1" x14ac:dyDescent="0.25">
      <c r="A5" s="12" t="s">
        <v>192</v>
      </c>
      <c r="B5" t="s">
        <v>193</v>
      </c>
    </row>
    <row r="6" spans="1:2" ht="15" customHeight="1" x14ac:dyDescent="0.25">
      <c r="A6" s="12" t="s">
        <v>194</v>
      </c>
      <c r="B6" t="s">
        <v>195</v>
      </c>
    </row>
    <row r="7" spans="1:2" ht="15" customHeight="1" x14ac:dyDescent="0.25">
      <c r="A7" s="12" t="s">
        <v>196</v>
      </c>
      <c r="B7" t="s">
        <v>293</v>
      </c>
    </row>
    <row r="9" spans="1:2" ht="15" customHeight="1" x14ac:dyDescent="0.25">
      <c r="A9" s="13" t="s">
        <v>197</v>
      </c>
      <c r="B9" s="13" t="s">
        <v>198</v>
      </c>
    </row>
    <row r="10" spans="1:2" ht="15" customHeight="1" x14ac:dyDescent="0.25">
      <c r="A10" s="12" t="s">
        <v>199</v>
      </c>
      <c r="B10">
        <f>COUNTA('Functional Test Cases'!$A$2:$A$24)</f>
        <v>23</v>
      </c>
    </row>
    <row r="11" spans="1:2" ht="15" customHeight="1" x14ac:dyDescent="0.25">
      <c r="A11" s="12" t="s">
        <v>21</v>
      </c>
      <c r="B11" s="14">
        <f>COUNTIF('Functional Test Cases'!$J$2:$J$24,"PASS")</f>
        <v>22</v>
      </c>
    </row>
    <row r="12" spans="1:2" ht="15" customHeight="1" x14ac:dyDescent="0.25">
      <c r="A12" s="12" t="s">
        <v>136</v>
      </c>
      <c r="B12" s="15">
        <f>COUNTIF('Functional Test Cases'!$J$2:$J$24,"FAIL")</f>
        <v>1</v>
      </c>
    </row>
    <row r="13" spans="1:2" ht="15" customHeight="1" x14ac:dyDescent="0.25">
      <c r="A13" s="12" t="s">
        <v>200</v>
      </c>
      <c r="B13">
        <f>COUNTIF('Functional Test Cases'!$J$2:$J$24,"BLOCKED")</f>
        <v>0</v>
      </c>
    </row>
    <row r="14" spans="1:2" ht="15" customHeight="1" x14ac:dyDescent="0.25">
      <c r="A14" s="12" t="s">
        <v>201</v>
      </c>
      <c r="B14">
        <f>COUNTIF('Functional Test Cases'!$J$2:$J$24,"NOT EXECUTED")</f>
        <v>0</v>
      </c>
    </row>
    <row r="16" spans="1:2" ht="15" customHeight="1" x14ac:dyDescent="0.25">
      <c r="A16" s="13" t="s">
        <v>202</v>
      </c>
      <c r="B16" s="13" t="s">
        <v>198</v>
      </c>
    </row>
    <row r="17" spans="1:2" ht="15" customHeight="1" x14ac:dyDescent="0.25">
      <c r="A17" s="12" t="s">
        <v>203</v>
      </c>
      <c r="B17">
        <f>COUNTIF('Functional Test Cases'!$D$2:$D$24,"Positive")</f>
        <v>6</v>
      </c>
    </row>
    <row r="18" spans="1:2" ht="15" customHeight="1" x14ac:dyDescent="0.25">
      <c r="A18" s="12" t="s">
        <v>204</v>
      </c>
      <c r="B18">
        <f>COUNTIF('Functional Test Cases'!$D$2:$D$24,"Negative")</f>
        <v>5</v>
      </c>
    </row>
    <row r="19" spans="1:2" ht="15" customHeight="1" x14ac:dyDescent="0.25">
      <c r="A19" s="12" t="s">
        <v>205</v>
      </c>
      <c r="B19">
        <f>COUNTIF('Functional Test Cases'!$D$2:$D$24,"Boundary Value")</f>
        <v>4</v>
      </c>
    </row>
    <row r="20" spans="1:2" ht="15" customHeight="1" x14ac:dyDescent="0.25">
      <c r="A20" s="12" t="s">
        <v>206</v>
      </c>
      <c r="B20">
        <f>COUNTIF('Functional Test Cases'!$D$2:$D$24,"Edge Case")</f>
        <v>8</v>
      </c>
    </row>
    <row r="22" spans="1:2" ht="15" customHeight="1" x14ac:dyDescent="0.25">
      <c r="A22" s="13" t="s">
        <v>207</v>
      </c>
      <c r="B22" s="13" t="s">
        <v>198</v>
      </c>
    </row>
    <row r="23" spans="1:2" ht="15" customHeight="1" x14ac:dyDescent="0.25">
      <c r="A23" s="12" t="s">
        <v>68</v>
      </c>
      <c r="B23" s="15">
        <f>COUNTIF('Functional Test Cases'!$K$2:$K$24,"High")</f>
        <v>7</v>
      </c>
    </row>
    <row r="24" spans="1:2" ht="15" customHeight="1" x14ac:dyDescent="0.25">
      <c r="A24" s="12" t="s">
        <v>22</v>
      </c>
      <c r="B24" s="16">
        <f>COUNTIF('Functional Test Cases'!$K$2:$K$24,"Medium")</f>
        <v>11</v>
      </c>
    </row>
    <row r="25" spans="1:2" ht="15" customHeight="1" x14ac:dyDescent="0.25">
      <c r="A25" s="12" t="s">
        <v>30</v>
      </c>
      <c r="B25" s="14">
        <f>COUNTIF('Functional Test Cases'!$K$2:$K$24,"Low")</f>
        <v>5</v>
      </c>
    </row>
    <row r="27" spans="1:2" ht="15" customHeight="1" x14ac:dyDescent="0.25">
      <c r="A27" s="13" t="s">
        <v>208</v>
      </c>
      <c r="B27" s="13" t="s">
        <v>209</v>
      </c>
    </row>
    <row r="28" spans="1:2" ht="15" customHeight="1" x14ac:dyDescent="0.25">
      <c r="A28" s="12" t="s">
        <v>210</v>
      </c>
      <c r="B28" s="15" t="s">
        <v>211</v>
      </c>
    </row>
    <row r="29" spans="1:2" ht="15" customHeight="1" x14ac:dyDescent="0.25">
      <c r="A29" s="12" t="s">
        <v>212</v>
      </c>
      <c r="B29" t="s">
        <v>213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G46"/>
  <sheetViews>
    <sheetView showGridLines="0" tabSelected="1" zoomScaleNormal="100" workbookViewId="0">
      <selection activeCell="S34" sqref="S34:T34"/>
    </sheetView>
  </sheetViews>
  <sheetFormatPr defaultColWidth="8.7109375" defaultRowHeight="15" x14ac:dyDescent="0.25"/>
  <cols>
    <col min="1" max="1" width="20" customWidth="1"/>
    <col min="2" max="2" width="46" customWidth="1"/>
    <col min="3" max="3" width="28" customWidth="1"/>
    <col min="4" max="4" width="12" customWidth="1"/>
    <col min="5" max="5" width="16" customWidth="1"/>
    <col min="6" max="6" width="17" customWidth="1"/>
    <col min="7" max="7" width="11" customWidth="1"/>
  </cols>
  <sheetData>
    <row r="1" spans="1:7" ht="33.75" customHeight="1" thickBot="1" x14ac:dyDescent="0.3">
      <c r="A1" s="31" t="s">
        <v>214</v>
      </c>
      <c r="B1" s="31"/>
      <c r="C1" s="31"/>
      <c r="D1" s="31"/>
      <c r="E1" s="31"/>
      <c r="F1" s="31"/>
      <c r="G1" s="31"/>
    </row>
    <row r="3" spans="1:7" ht="19.5" customHeight="1" x14ac:dyDescent="0.25">
      <c r="A3" s="2" t="s">
        <v>215</v>
      </c>
      <c r="B3" s="26" t="s">
        <v>216</v>
      </c>
      <c r="C3" s="26"/>
      <c r="D3" s="26"/>
      <c r="E3" s="26"/>
      <c r="F3" s="26"/>
      <c r="G3" s="26"/>
    </row>
    <row r="4" spans="1:7" ht="19.5" customHeight="1" x14ac:dyDescent="0.25">
      <c r="A4" s="2" t="s">
        <v>217</v>
      </c>
      <c r="B4" s="32" t="s">
        <v>218</v>
      </c>
      <c r="C4" s="32"/>
      <c r="D4" s="32"/>
      <c r="E4" s="32"/>
      <c r="F4" s="32"/>
      <c r="G4" s="32"/>
    </row>
    <row r="5" spans="1:7" ht="19.5" customHeight="1" x14ac:dyDescent="0.25">
      <c r="A5" s="2" t="s">
        <v>219</v>
      </c>
      <c r="B5" s="26" t="s">
        <v>298</v>
      </c>
      <c r="C5" s="26"/>
      <c r="D5" s="26"/>
      <c r="E5" s="26"/>
      <c r="F5" s="26"/>
      <c r="G5" s="26"/>
    </row>
    <row r="6" spans="1:7" ht="19.5" customHeight="1" x14ac:dyDescent="0.25">
      <c r="A6" s="2" t="s">
        <v>192</v>
      </c>
      <c r="B6" s="26" t="s">
        <v>220</v>
      </c>
      <c r="C6" s="26"/>
      <c r="D6" s="26"/>
      <c r="E6" s="26"/>
      <c r="F6" s="26"/>
      <c r="G6" s="26"/>
    </row>
    <row r="7" spans="1:7" ht="19.5" customHeight="1" x14ac:dyDescent="0.25">
      <c r="A7" s="2" t="s">
        <v>194</v>
      </c>
      <c r="B7" s="26" t="s">
        <v>195</v>
      </c>
      <c r="C7" s="26"/>
      <c r="D7" s="26"/>
      <c r="E7" s="26"/>
      <c r="F7" s="26"/>
      <c r="G7" s="26"/>
    </row>
    <row r="9" spans="1:7" ht="24" customHeight="1" x14ac:dyDescent="0.25">
      <c r="A9" s="30" t="s">
        <v>221</v>
      </c>
      <c r="B9" s="30"/>
      <c r="C9" s="30"/>
      <c r="D9" s="30"/>
      <c r="E9" s="30"/>
      <c r="F9" s="30"/>
      <c r="G9" s="30"/>
    </row>
    <row r="10" spans="1:7" ht="21.75" customHeight="1" x14ac:dyDescent="0.25">
      <c r="A10" s="17" t="s">
        <v>222</v>
      </c>
      <c r="B10" s="17" t="s">
        <v>223</v>
      </c>
      <c r="C10" s="17" t="s">
        <v>1</v>
      </c>
      <c r="D10" s="17" t="s">
        <v>9</v>
      </c>
      <c r="E10" s="17" t="s">
        <v>10</v>
      </c>
      <c r="F10" s="17" t="s">
        <v>224</v>
      </c>
      <c r="G10" s="17" t="s">
        <v>8</v>
      </c>
    </row>
    <row r="11" spans="1:7" ht="36" customHeight="1" x14ac:dyDescent="0.25">
      <c r="A11" s="18" t="s">
        <v>225</v>
      </c>
      <c r="B11" s="19" t="s">
        <v>226</v>
      </c>
      <c r="C11" s="19" t="s">
        <v>227</v>
      </c>
      <c r="D11" s="20" t="s">
        <v>22</v>
      </c>
      <c r="E11" s="21" t="s">
        <v>68</v>
      </c>
      <c r="F11" s="22" t="s">
        <v>228</v>
      </c>
      <c r="G11" s="23" t="s">
        <v>229</v>
      </c>
    </row>
    <row r="12" spans="1:7" ht="36" customHeight="1" x14ac:dyDescent="0.25">
      <c r="A12" s="18" t="s">
        <v>230</v>
      </c>
      <c r="B12" s="19" t="s">
        <v>231</v>
      </c>
      <c r="C12" s="19" t="s">
        <v>232</v>
      </c>
      <c r="D12" s="24" t="s">
        <v>30</v>
      </c>
      <c r="E12" s="20" t="s">
        <v>22</v>
      </c>
      <c r="F12" s="22" t="s">
        <v>228</v>
      </c>
      <c r="G12" s="23" t="s">
        <v>229</v>
      </c>
    </row>
    <row r="14" spans="1:7" ht="24" customHeight="1" x14ac:dyDescent="0.25">
      <c r="A14" s="30" t="s">
        <v>233</v>
      </c>
      <c r="B14" s="30"/>
      <c r="C14" s="30"/>
      <c r="D14" s="30"/>
      <c r="E14" s="30"/>
      <c r="F14" s="30"/>
      <c r="G14" s="30"/>
    </row>
    <row r="15" spans="1:7" ht="21.75" customHeight="1" x14ac:dyDescent="0.25">
      <c r="A15" s="29" t="s">
        <v>234</v>
      </c>
      <c r="B15" s="29"/>
      <c r="C15" s="29"/>
      <c r="D15" s="29"/>
      <c r="E15" s="29"/>
      <c r="F15" s="29"/>
      <c r="G15" s="29"/>
    </row>
    <row r="16" spans="1:7" ht="21" customHeight="1" x14ac:dyDescent="0.25">
      <c r="A16" s="2" t="s">
        <v>223</v>
      </c>
      <c r="B16" s="26" t="s">
        <v>226</v>
      </c>
      <c r="C16" s="26"/>
      <c r="D16" s="26"/>
      <c r="E16" s="26"/>
      <c r="F16" s="26"/>
      <c r="G16" s="26"/>
    </row>
    <row r="17" spans="1:7" ht="50.25" customHeight="1" x14ac:dyDescent="0.25">
      <c r="A17" s="2" t="s">
        <v>235</v>
      </c>
      <c r="B17" s="26" t="s">
        <v>236</v>
      </c>
      <c r="C17" s="26"/>
      <c r="D17" s="26"/>
      <c r="E17" s="26"/>
      <c r="F17" s="26"/>
      <c r="G17" s="26"/>
    </row>
    <row r="18" spans="1:7" ht="36" customHeight="1" x14ac:dyDescent="0.25">
      <c r="A18" s="2" t="s">
        <v>3</v>
      </c>
      <c r="B18" s="26" t="s">
        <v>237</v>
      </c>
      <c r="C18" s="26"/>
      <c r="D18" s="26"/>
      <c r="E18" s="26"/>
      <c r="F18" s="26"/>
      <c r="G18" s="26"/>
    </row>
    <row r="19" spans="1:7" ht="166.5" customHeight="1" x14ac:dyDescent="0.25">
      <c r="A19" s="2" t="s">
        <v>238</v>
      </c>
      <c r="B19" s="26" t="s">
        <v>239</v>
      </c>
      <c r="C19" s="26"/>
      <c r="D19" s="26"/>
      <c r="E19" s="26"/>
      <c r="F19" s="26"/>
      <c r="G19" s="26"/>
    </row>
    <row r="20" spans="1:7" ht="79.5" customHeight="1" x14ac:dyDescent="0.25">
      <c r="A20" s="2" t="s">
        <v>6</v>
      </c>
      <c r="B20" s="26" t="s">
        <v>240</v>
      </c>
      <c r="C20" s="26"/>
      <c r="D20" s="26"/>
      <c r="E20" s="26"/>
      <c r="F20" s="26"/>
      <c r="G20" s="26"/>
    </row>
    <row r="21" spans="1:7" ht="108" customHeight="1" x14ac:dyDescent="0.25">
      <c r="A21" s="2" t="s">
        <v>7</v>
      </c>
      <c r="B21" s="26" t="s">
        <v>241</v>
      </c>
      <c r="C21" s="26"/>
      <c r="D21" s="26"/>
      <c r="E21" s="26"/>
      <c r="F21" s="26"/>
      <c r="G21" s="26"/>
    </row>
    <row r="22" spans="1:7" ht="19.5" customHeight="1" x14ac:dyDescent="0.25">
      <c r="A22" s="27" t="s">
        <v>242</v>
      </c>
      <c r="B22" s="1" t="s">
        <v>243</v>
      </c>
      <c r="C22" s="28" t="s">
        <v>235</v>
      </c>
      <c r="D22" s="28"/>
      <c r="E22" s="28"/>
      <c r="F22" s="33"/>
      <c r="G22" s="34"/>
    </row>
    <row r="23" spans="1:7" ht="36" customHeight="1" x14ac:dyDescent="0.25">
      <c r="A23" s="27"/>
      <c r="B23" s="3" t="s">
        <v>244</v>
      </c>
      <c r="C23" s="26" t="s">
        <v>245</v>
      </c>
      <c r="D23" s="26"/>
      <c r="E23" s="26"/>
      <c r="F23" s="33"/>
      <c r="G23" s="34"/>
    </row>
    <row r="24" spans="1:7" ht="36" customHeight="1" x14ac:dyDescent="0.25">
      <c r="A24" s="27"/>
      <c r="B24" s="3" t="s">
        <v>246</v>
      </c>
      <c r="C24" s="26" t="s">
        <v>247</v>
      </c>
      <c r="D24" s="26"/>
      <c r="E24" s="26"/>
      <c r="F24" s="33"/>
      <c r="G24" s="34"/>
    </row>
    <row r="25" spans="1:7" ht="21" customHeight="1" x14ac:dyDescent="0.25">
      <c r="A25" s="27"/>
      <c r="B25" s="3" t="s">
        <v>248</v>
      </c>
      <c r="C25" s="26" t="s">
        <v>249</v>
      </c>
      <c r="D25" s="26"/>
      <c r="E25" s="26"/>
      <c r="F25" s="33"/>
      <c r="G25" s="34"/>
    </row>
    <row r="26" spans="1:7" ht="21" customHeight="1" x14ac:dyDescent="0.25">
      <c r="A26" s="27"/>
      <c r="B26" s="3" t="s">
        <v>250</v>
      </c>
      <c r="C26" s="26" t="s">
        <v>251</v>
      </c>
      <c r="D26" s="26"/>
      <c r="E26" s="26"/>
      <c r="F26" s="33"/>
      <c r="G26" s="34"/>
    </row>
    <row r="27" spans="1:7" ht="21" customHeight="1" x14ac:dyDescent="0.25">
      <c r="A27" s="27"/>
      <c r="B27" s="3" t="s">
        <v>252</v>
      </c>
      <c r="C27" s="26" t="s">
        <v>253</v>
      </c>
      <c r="D27" s="26"/>
      <c r="E27" s="26"/>
      <c r="F27" s="33"/>
      <c r="G27" s="34"/>
    </row>
    <row r="28" spans="1:7" ht="21" customHeight="1" x14ac:dyDescent="0.25">
      <c r="A28" s="27"/>
      <c r="B28" s="3" t="s">
        <v>254</v>
      </c>
      <c r="C28" s="26" t="s">
        <v>255</v>
      </c>
      <c r="D28" s="26"/>
      <c r="E28" s="26"/>
      <c r="F28" s="33"/>
      <c r="G28" s="34"/>
    </row>
    <row r="29" spans="1:7" ht="21" customHeight="1" x14ac:dyDescent="0.25">
      <c r="A29" s="27"/>
      <c r="B29" s="3" t="s">
        <v>256</v>
      </c>
      <c r="C29" s="26" t="s">
        <v>257</v>
      </c>
      <c r="D29" s="26"/>
      <c r="E29" s="26"/>
      <c r="F29" s="33"/>
      <c r="G29" s="34"/>
    </row>
    <row r="30" spans="1:7" ht="21" customHeight="1" x14ac:dyDescent="0.25">
      <c r="A30" s="27"/>
      <c r="B30" s="3"/>
      <c r="C30" s="26"/>
      <c r="D30" s="26"/>
      <c r="E30" s="26"/>
      <c r="F30" s="33"/>
      <c r="G30" s="34"/>
    </row>
    <row r="31" spans="1:7" ht="21" customHeight="1" x14ac:dyDescent="0.25">
      <c r="A31" s="27"/>
      <c r="B31" s="3"/>
      <c r="C31" s="26"/>
      <c r="D31" s="26"/>
      <c r="E31" s="26"/>
      <c r="F31" s="33"/>
      <c r="G31" s="34"/>
    </row>
    <row r="33" spans="1:7" ht="21.75" customHeight="1" x14ac:dyDescent="0.25">
      <c r="A33" s="38" t="s">
        <v>258</v>
      </c>
      <c r="B33" s="39"/>
      <c r="C33" s="39"/>
      <c r="D33" s="39"/>
      <c r="E33" s="39"/>
      <c r="F33" s="39"/>
      <c r="G33" s="40"/>
    </row>
    <row r="34" spans="1:7" ht="21" customHeight="1" x14ac:dyDescent="0.25">
      <c r="A34" s="2" t="s">
        <v>223</v>
      </c>
      <c r="B34" s="35" t="s">
        <v>231</v>
      </c>
      <c r="C34" s="36"/>
      <c r="D34" s="36"/>
      <c r="E34" s="36"/>
      <c r="F34" s="36"/>
      <c r="G34" s="37"/>
    </row>
    <row r="35" spans="1:7" ht="50.25" customHeight="1" x14ac:dyDescent="0.25">
      <c r="A35" s="2" t="s">
        <v>235</v>
      </c>
      <c r="B35" s="35" t="s">
        <v>259</v>
      </c>
      <c r="C35" s="36"/>
      <c r="D35" s="36"/>
      <c r="E35" s="36"/>
      <c r="F35" s="36"/>
      <c r="G35" s="37"/>
    </row>
    <row r="36" spans="1:7" ht="21" customHeight="1" x14ac:dyDescent="0.25">
      <c r="A36" s="2" t="s">
        <v>3</v>
      </c>
      <c r="B36" s="35" t="s">
        <v>260</v>
      </c>
      <c r="C36" s="36"/>
      <c r="D36" s="36"/>
      <c r="E36" s="36"/>
      <c r="F36" s="36"/>
      <c r="G36" s="37"/>
    </row>
    <row r="37" spans="1:7" ht="64.5" customHeight="1" x14ac:dyDescent="0.25">
      <c r="A37" s="2" t="s">
        <v>238</v>
      </c>
      <c r="B37" s="35" t="s">
        <v>261</v>
      </c>
      <c r="C37" s="36"/>
      <c r="D37" s="36"/>
      <c r="E37" s="36"/>
      <c r="F37" s="36"/>
      <c r="G37" s="37"/>
    </row>
    <row r="38" spans="1:7" ht="50.25" customHeight="1" x14ac:dyDescent="0.25">
      <c r="A38" s="2" t="s">
        <v>6</v>
      </c>
      <c r="B38" s="35" t="s">
        <v>262</v>
      </c>
      <c r="C38" s="36"/>
      <c r="D38" s="36"/>
      <c r="E38" s="36"/>
      <c r="F38" s="36"/>
      <c r="G38" s="37"/>
    </row>
    <row r="39" spans="1:7" ht="64.5" customHeight="1" x14ac:dyDescent="0.25">
      <c r="A39" s="2" t="s">
        <v>7</v>
      </c>
      <c r="B39" s="35" t="s">
        <v>263</v>
      </c>
      <c r="C39" s="36"/>
      <c r="D39" s="36"/>
      <c r="E39" s="36"/>
      <c r="F39" s="36"/>
      <c r="G39" s="37"/>
    </row>
    <row r="40" spans="1:7" ht="19.5" customHeight="1" x14ac:dyDescent="0.25">
      <c r="A40" s="27" t="s">
        <v>242</v>
      </c>
      <c r="B40" s="1" t="s">
        <v>243</v>
      </c>
      <c r="C40" s="28" t="s">
        <v>235</v>
      </c>
      <c r="D40" s="28"/>
      <c r="E40" s="28"/>
      <c r="F40" s="41"/>
      <c r="G40" s="42"/>
    </row>
    <row r="41" spans="1:7" ht="36" customHeight="1" x14ac:dyDescent="0.25">
      <c r="A41" s="27"/>
      <c r="B41" s="3" t="s">
        <v>264</v>
      </c>
      <c r="C41" s="26" t="s">
        <v>265</v>
      </c>
      <c r="D41" s="26"/>
      <c r="E41" s="26"/>
      <c r="F41" s="41"/>
      <c r="G41" s="42"/>
    </row>
    <row r="42" spans="1:7" ht="21" customHeight="1" x14ac:dyDescent="0.25">
      <c r="A42" s="27"/>
      <c r="B42" s="3" t="s">
        <v>266</v>
      </c>
      <c r="C42" s="26" t="s">
        <v>267</v>
      </c>
      <c r="D42" s="26"/>
      <c r="E42" s="26"/>
      <c r="F42" s="41"/>
      <c r="G42" s="42"/>
    </row>
    <row r="43" spans="1:7" ht="21" customHeight="1" x14ac:dyDescent="0.25">
      <c r="A43" s="27"/>
      <c r="B43" s="3"/>
      <c r="C43" s="26"/>
      <c r="D43" s="26"/>
      <c r="E43" s="26"/>
      <c r="F43" s="41"/>
      <c r="G43" s="42"/>
    </row>
    <row r="44" spans="1:7" ht="21" customHeight="1" x14ac:dyDescent="0.25">
      <c r="A44" s="27"/>
      <c r="B44" s="3"/>
      <c r="C44" s="26"/>
      <c r="D44" s="26"/>
      <c r="E44" s="26"/>
      <c r="F44" s="41"/>
      <c r="G44" s="42"/>
    </row>
    <row r="46" spans="1:7" x14ac:dyDescent="0.25">
      <c r="A46" s="25" t="s">
        <v>268</v>
      </c>
    </row>
  </sheetData>
  <mergeCells count="54">
    <mergeCell ref="F23:G23"/>
    <mergeCell ref="F22:G22"/>
    <mergeCell ref="F28:G28"/>
    <mergeCell ref="F27:G27"/>
    <mergeCell ref="F26:G26"/>
    <mergeCell ref="F25:G25"/>
    <mergeCell ref="F24:G24"/>
    <mergeCell ref="A1:G1"/>
    <mergeCell ref="B3:G3"/>
    <mergeCell ref="B4:G4"/>
    <mergeCell ref="B5:G5"/>
    <mergeCell ref="B6:G6"/>
    <mergeCell ref="B7:G7"/>
    <mergeCell ref="A9:G9"/>
    <mergeCell ref="A14:G14"/>
    <mergeCell ref="A15:G15"/>
    <mergeCell ref="B16:G16"/>
    <mergeCell ref="B17:G17"/>
    <mergeCell ref="B18:G18"/>
    <mergeCell ref="B19:G19"/>
    <mergeCell ref="B20:G20"/>
    <mergeCell ref="B21:G21"/>
    <mergeCell ref="A22:A31"/>
    <mergeCell ref="C22:E22"/>
    <mergeCell ref="C23:E23"/>
    <mergeCell ref="C24:E24"/>
    <mergeCell ref="C25:E25"/>
    <mergeCell ref="C26:E26"/>
    <mergeCell ref="C27:E27"/>
    <mergeCell ref="C28:E28"/>
    <mergeCell ref="C29:E29"/>
    <mergeCell ref="F29:G29"/>
    <mergeCell ref="C30:E30"/>
    <mergeCell ref="F30:G30"/>
    <mergeCell ref="C31:E31"/>
    <mergeCell ref="F31:G31"/>
    <mergeCell ref="A33:G33"/>
    <mergeCell ref="B34:G34"/>
    <mergeCell ref="B35:G35"/>
    <mergeCell ref="B36:G36"/>
    <mergeCell ref="B37:G37"/>
    <mergeCell ref="B38:G38"/>
    <mergeCell ref="B39:G39"/>
    <mergeCell ref="A40:A44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</mergeCells>
  <hyperlinks>
    <hyperlink ref="B4" r:id="rId1" xr:uid="{00000000-0004-0000-0200-000000000000}"/>
  </hyperlinks>
  <pageMargins left="0.4" right="0.4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Test Cases</vt:lpstr>
      <vt:lpstr>Execution Summary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neteyam</cp:lastModifiedBy>
  <cp:revision>0</cp:revision>
  <dcterms:created xsi:type="dcterms:W3CDTF">2026-10-27T00:05:49Z</dcterms:created>
  <dcterms:modified xsi:type="dcterms:W3CDTF">2026-10-29T09:04:27Z</dcterms:modified>
  <dc:language>en-US</dc:language>
</cp:coreProperties>
</file>